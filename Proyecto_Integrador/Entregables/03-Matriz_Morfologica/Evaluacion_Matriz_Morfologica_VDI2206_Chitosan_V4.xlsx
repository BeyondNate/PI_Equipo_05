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Notas" sheetId="2" r:id="rId5"/>
    <sheet state="visible" name="Matriz" sheetId="3" r:id="rId6"/>
    <sheet state="visible" name="Conceptos" sheetId="4" r:id="rId7"/>
    <sheet state="visible" name="Criterios" sheetId="5" r:id="rId8"/>
    <sheet state="visible" name="Puntajes (1-5)" sheetId="6" r:id="rId9"/>
    <sheet state="visible" name="Pugh" sheetId="7" r:id="rId10"/>
    <sheet state="visible" name="Ponderado" sheetId="8" r:id="rId11"/>
  </sheets>
  <definedNames/>
  <calcPr/>
  <extLst>
    <ext uri="GoogleSheetsCustomDataVersion2">
      <go:sheetsCustomData xmlns:go="http://customooxmlschemas.google.com/" r:id="rId12" roundtripDataChecksum="hVRpr5Fclrt17pNsB9AC9jzbLwm4HuvCUOFHUfKb8Qw="/>
    </ext>
  </extLst>
</workbook>
</file>

<file path=xl/sharedStrings.xml><?xml version="1.0" encoding="utf-8"?>
<sst xmlns="http://schemas.openxmlformats.org/spreadsheetml/2006/main" count="195" uniqueCount="135">
  <si>
    <t>Concepto</t>
  </si>
  <si>
    <t>Notas de interfaz / compatibilidad</t>
  </si>
  <si>
    <t>N.º</t>
  </si>
  <si>
    <t>Paso</t>
  </si>
  <si>
    <t>Almacenar líquido</t>
  </si>
  <si>
    <t>Detalle</t>
  </si>
  <si>
    <t>Función</t>
  </si>
  <si>
    <t>Procesamiento y control de señales</t>
  </si>
  <si>
    <t>Solución 1</t>
  </si>
  <si>
    <t>Medir/Detectar</t>
  </si>
  <si>
    <t>Matriz : revisa subfunciones y alternativas; lee 'Notas' para incompatibilidades.</t>
  </si>
  <si>
    <t>Solución 2</t>
  </si>
  <si>
    <t>Mecánica</t>
  </si>
  <si>
    <t>Solución 3</t>
  </si>
  <si>
    <t>Actuar</t>
  </si>
  <si>
    <t>El ESP32 integra WiFi y Bluetooth, por lo que no requiere un módulo externo para estas funciones.</t>
  </si>
  <si>
    <t>Control</t>
  </si>
  <si>
    <t>Conceptos : representa las tres soluciones preliminares obtenidas de la matriz morfológica.</t>
  </si>
  <si>
    <t>Energía</t>
  </si>
  <si>
    <t>Concepto A (Base)</t>
  </si>
  <si>
    <t>La alimentación debe ser compatible con el ESP32, sensores, bombas y actuadores.</t>
  </si>
  <si>
    <t>Criterios : define pesos (suman 1,0) y justifícalos en tu proyecto.</t>
  </si>
  <si>
    <t>Los sensores de turbidez, pH y nivel de agua requieren una conexión y acondicionamiento adecuados.</t>
  </si>
  <si>
    <t>La bomba debe permitir una dosificación controlada de la solución de quitosano.</t>
  </si>
  <si>
    <t>Botella plástica HDPE o PP</t>
  </si>
  <si>
    <t>Puntajes (1-5) : valora cada concepto por criterio (5 = mejor).</t>
  </si>
  <si>
    <t>El sistema debe permitir controlar el posicionamiento y giro del agitador.</t>
  </si>
  <si>
    <t>ESP32</t>
  </si>
  <si>
    <t>La estructura debe permitir sujetar correctamente la cajita de sensores.</t>
  </si>
  <si>
    <t>Sensores: Turbidez salida analógica, pH con electrodo</t>
  </si>
  <si>
    <t>La carcasa debe proteger los componentes electrónicos del contacto con el agua.</t>
  </si>
  <si>
    <t>Bomba alimentación agua sucia + Bomba de jeringa automatizada</t>
  </si>
  <si>
    <t>Pugh : compara soluciones preliminares B y C contra A con +/0/-; revisa sumas.</t>
  </si>
  <si>
    <t>El sistema debe mantener una implementación viable para el prototipo.</t>
  </si>
  <si>
    <t>Driver de motor con retroalimentación de velocidad (encoder)</t>
  </si>
  <si>
    <t>Fuente de energía del dispositivo</t>
  </si>
  <si>
    <t>Interruptor deslizante</t>
  </si>
  <si>
    <t>Batería de litio 3.7/5 V 5000 mAh</t>
  </si>
  <si>
    <t>Fuente 5VDC</t>
  </si>
  <si>
    <t>Ponderado : calcula Total ponderado = SUMA(peso * puntaje).</t>
  </si>
  <si>
    <t>Conexión directa</t>
  </si>
  <si>
    <t>...</t>
  </si>
  <si>
    <t>Concepto B</t>
  </si>
  <si>
    <t>Selecciona el(los) concepto(s) líder(es) y registra riesgos/ensayos a planificar.</t>
  </si>
  <si>
    <t>Sensores: Turbidez salida analógica, pH con sonda</t>
  </si>
  <si>
    <t>Encendido del equipo</t>
  </si>
  <si>
    <t>Bomba alimentación agua sucia + Bomba peristáltica</t>
  </si>
  <si>
    <t>Interruptor basculante</t>
  </si>
  <si>
    <t>Motor DC (CC) + PWM</t>
  </si>
  <si>
    <t>ON/OFF</t>
  </si>
  <si>
    <t>Acondicionar energía eléctrica de entrada</t>
  </si>
  <si>
    <t>Fuente conmutada</t>
  </si>
  <si>
    <t>Concepto C</t>
  </si>
  <si>
    <t>—</t>
  </si>
  <si>
    <t>Envase con sello hermético</t>
  </si>
  <si>
    <t>Convertidor DC-DC tipo buck</t>
  </si>
  <si>
    <t>Sensores: Nefelométrico de turbidez, pH de estado sólido</t>
  </si>
  <si>
    <t>Bomba dosificadora electromagnética</t>
  </si>
  <si>
    <t>Acondicionar energía para sensores</t>
  </si>
  <si>
    <t>Relé + temporizador</t>
  </si>
  <si>
    <t>Regulador LDO 5 V</t>
  </si>
  <si>
    <t>Módulo step-down regulado</t>
  </si>
  <si>
    <t>Acondicionar energía para módulo de comunicación</t>
  </si>
  <si>
    <t>Regulador 5 V dedicado</t>
  </si>
  <si>
    <t>Convertidor DC-DC aislado</t>
  </si>
  <si>
    <t>Controlar el sistema</t>
  </si>
  <si>
    <t>Sensar turbidez del agua</t>
  </si>
  <si>
    <t>Sensor de turbidez 0–1000 NTU</t>
  </si>
  <si>
    <t>Sensor nefelométrico</t>
  </si>
  <si>
    <t>Sensar pH del agua</t>
  </si>
  <si>
    <t>Electrodo de vidrio</t>
  </si>
  <si>
    <t>ISFET</t>
  </si>
  <si>
    <t>Sonda de pH</t>
  </si>
  <si>
    <t>Sensar nivel de agua</t>
  </si>
  <si>
    <t>Sensor capacitivo XKC-Y25</t>
  </si>
  <si>
    <t>Boya/control eléctrico</t>
  </si>
  <si>
    <t>Sensor vertical</t>
  </si>
  <si>
    <t>Transportar agua turbia al reactor</t>
  </si>
  <si>
    <t>Bomba de alimentación 12 V</t>
  </si>
  <si>
    <t>Dosificar solución de quitosano</t>
  </si>
  <si>
    <t>Bomba peristáltica</t>
  </si>
  <si>
    <t>Bomba electromagnética</t>
  </si>
  <si>
    <t>Bomba de jeringa</t>
  </si>
  <si>
    <t>Posicionar agitador</t>
  </si>
  <si>
    <t>NEMA 17 + Husillo T8</t>
  </si>
  <si>
    <t>Actuador lineal 12 V</t>
  </si>
  <si>
    <t>Servomotor lineal</t>
  </si>
  <si>
    <t>Controlar velocidad y tiempo del agitador</t>
  </si>
  <si>
    <t>Motor DC + PWM</t>
  </si>
  <si>
    <t>Driver + encoder</t>
  </si>
  <si>
    <t>Sujetar dispositivo/cajita</t>
  </si>
  <si>
    <t>Brazo articulado</t>
  </si>
  <si>
    <t>Brazo telescópico</t>
  </si>
  <si>
    <t>Emitir señal sonora</t>
  </si>
  <si>
    <t>Buzzer</t>
  </si>
  <si>
    <t>Zumbador</t>
  </si>
  <si>
    <t>Altavoz pequeño</t>
  </si>
  <si>
    <t>Mostrar turbidez, pH y dosis</t>
  </si>
  <si>
    <t>LCD 16×2</t>
  </si>
  <si>
    <t>OLED</t>
  </si>
  <si>
    <t>TFT</t>
  </si>
  <si>
    <t>Transmitir datos inalámbricamente</t>
  </si>
  <si>
    <t>Bluetooth</t>
  </si>
  <si>
    <t>WiFi + Bluetooth del ESP32</t>
  </si>
  <si>
    <t>Carcasa</t>
  </si>
  <si>
    <t>PLA</t>
  </si>
  <si>
    <t>ABS</t>
  </si>
  <si>
    <t>PETG</t>
  </si>
  <si>
    <t>Envase de mezcla de quitosano</t>
  </si>
  <si>
    <t>HDPE/PP</t>
  </si>
  <si>
    <t>Criterio</t>
  </si>
  <si>
    <t>Peso</t>
  </si>
  <si>
    <t>Precisión de dosificación</t>
  </si>
  <si>
    <t>0.20</t>
  </si>
  <si>
    <t>Costo</t>
  </si>
  <si>
    <t>0.15</t>
  </si>
  <si>
    <t>Complejidad técnica</t>
  </si>
  <si>
    <t>Control del proceso</t>
  </si>
  <si>
    <t>Consumo energético</t>
  </si>
  <si>
    <t>0.10</t>
  </si>
  <si>
    <t>Mantenimiento e higiene</t>
  </si>
  <si>
    <t>Confiabilidad</t>
  </si>
  <si>
    <t>Portabilidad</t>
  </si>
  <si>
    <t>0.05</t>
  </si>
  <si>
    <t>Total</t>
  </si>
  <si>
    <t>1.00</t>
  </si>
  <si>
    <t>Solución 2 (B)</t>
  </si>
  <si>
    <t>Base (A)</t>
  </si>
  <si>
    <t>B vs A</t>
  </si>
  <si>
    <t>C vs A</t>
  </si>
  <si>
    <t>Peso*Concepto A (Base)</t>
  </si>
  <si>
    <t>Peso*Concepto B</t>
  </si>
  <si>
    <t>Peso*Concepto C</t>
  </si>
  <si>
    <t>Suma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</si>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</sst>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2" fontId="3" numFmtId="0" xfId="0" applyAlignment="1" applyBorder="1" applyFill="1" applyFont="1">
      <alignment horizontal="right" readingOrder="0"/>
    </xf>
    <xf borderId="1" fillId="2" fontId="1" numFmtId="0" xfId="0" applyAlignment="1" applyBorder="1" applyFill="1" applyFont="1">
      <alignment horizontal="center" readingOrder="0" vertical="top"/>
    </xf>
    <xf borderId="1" fillId="2" fontId="3" numFmtId="0" xfId="0" applyAlignment="1" applyBorder="1" applyFill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/>
    </xf>
    <xf borderId="1" fillId="2" fontId="3" numFmtId="0" xfId="0" applyBorder="1" applyFill="1" applyFont="1"/>
    <xf borderId="2" fillId="2" fontId="3" numFmtId="0" xfId="0" applyBorder="1" applyFill="1" applyFont="1"/>
    <xf borderId="3" fillId="0" fontId="4" numFmtId="0" xfId="0" applyBorder="1" applyFont="1"/>
    <xf borderId="4" fillId="2" fontId="3" numFmtId="0" xfId="0" applyBorder="1" applyFill="1" applyFont="1"/>
    <xf borderId="2" fillId="0" fontId="4" numFmtId="0" xfId="0" applyBorder="1" applyFont="1"/>
    <xf borderId="5" fillId="0" fontId="4" numFmtId="0" xfId="0" applyBorder="1" applyFont="1"/>
    <xf borderId="4" fillId="0" fontId="4" numFmtId="0" xfId="0" applyBorder="1" applyFont="1"/>
    <xf borderId="2" fillId="0" fontId="4" numFmtId="0" xfId="0" applyAlignment="1" applyBorder="1" applyFont="1">
      <alignment readingOrder="0"/>
    </xf>
    <xf borderId="6" fillId="0" fontId="4" numFmtId="0" xfId="0" applyBorder="1" applyFont="1"/>
    <xf borderId="1" fillId="4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0.71"/>
    <col customWidth="1" min="3" max="26" width="9.14"/>
  </cols>
  <sheetData>
    <row r="1">
      <c r="A1" s="2" t="s">
        <v>3</v>
      </c>
      <c r="B1" s="2" t="s">
        <v>5</v>
      </c>
    </row>
    <row r="2">
      <c r="A2" s="6">
        <v>1.0</v>
      </c>
      <c r="B2" s="6" t="s">
        <v>10</v>
      </c>
    </row>
    <row r="3">
      <c r="A3" s="6">
        <v>2.0</v>
      </c>
      <c r="B3" s="7" t="s">
        <v>17</v>
      </c>
    </row>
    <row r="4">
      <c r="A4" s="6">
        <v>3.0</v>
      </c>
      <c r="B4" s="6" t="s">
        <v>21</v>
      </c>
    </row>
    <row r="5">
      <c r="A5" s="6">
        <v>4.0</v>
      </c>
      <c r="B5" s="6" t="s">
        <v>25</v>
      </c>
    </row>
    <row r="6">
      <c r="A6" s="6">
        <v>5.0</v>
      </c>
      <c r="B6" s="7" t="s">
        <v>32</v>
      </c>
    </row>
    <row r="7">
      <c r="A7" s="6">
        <v>6.0</v>
      </c>
      <c r="B7" s="6" t="s">
        <v>39</v>
      </c>
    </row>
    <row r="8">
      <c r="A8" s="6">
        <v>7.0</v>
      </c>
      <c r="B8" s="6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6" width="9.14"/>
  </cols>
  <sheetData>
    <row r="1">
      <c r="A1" s="5" t="s">
        <v>1</v>
      </c>
    </row>
    <row r="2">
      <c r="A2" s="7" t="s">
        <v>15</v>
      </c>
    </row>
    <row r="3">
      <c r="A3" s="7" t="s">
        <v>20</v>
      </c>
    </row>
    <row r="4">
      <c r="A4" s="7" t="s">
        <v>22</v>
      </c>
    </row>
    <row r="5">
      <c r="A5" s="7" t="s">
        <v>23</v>
      </c>
    </row>
    <row r="6">
      <c r="A6" s="7" t="s">
        <v>26</v>
      </c>
    </row>
    <row r="7">
      <c r="A7" s="7" t="s">
        <v>28</v>
      </c>
    </row>
    <row r="8">
      <c r="A8" s="7" t="s">
        <v>30</v>
      </c>
    </row>
    <row r="9">
      <c r="A9" s="7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0.14"/>
    <col customWidth="1" min="3" max="3" width="19.29"/>
    <col customWidth="1" min="4" max="4" width="28.0"/>
    <col customWidth="1" min="5" max="5" width="27.71"/>
    <col customWidth="1" min="6" max="6" width="25.14"/>
    <col customWidth="1" min="7" max="26" width="9.14"/>
  </cols>
  <sheetData>
    <row r="1">
      <c r="A1" s="3" t="s">
        <v>2</v>
      </c>
      <c r="B1" s="5" t="s">
        <v>6</v>
      </c>
      <c r="C1" s="5" t="s">
        <v>8</v>
      </c>
      <c r="D1" s="5" t="s">
        <v>11</v>
      </c>
      <c r="E1" s="5" t="s">
        <v>13</v>
      </c>
      <c r="F1" s="8"/>
    </row>
    <row r="2">
      <c r="A2" s="9">
        <v>1.0</v>
      </c>
      <c r="B2" s="7" t="s">
        <v>35</v>
      </c>
      <c r="C2" s="7" t="s">
        <v>37</v>
      </c>
      <c r="D2" s="7" t="s">
        <v>40</v>
      </c>
      <c r="E2" s="7" t="s">
        <v>41</v>
      </c>
    </row>
    <row r="3">
      <c r="A3" s="9">
        <v>2.0</v>
      </c>
      <c r="B3" s="7" t="s">
        <v>45</v>
      </c>
      <c r="C3" s="7" t="s">
        <v>36</v>
      </c>
      <c r="D3" s="7" t="s">
        <v>47</v>
      </c>
      <c r="E3" s="7" t="s">
        <v>41</v>
      </c>
    </row>
    <row r="4">
      <c r="A4" s="9">
        <v>3.0</v>
      </c>
      <c r="B4" s="7" t="s">
        <v>50</v>
      </c>
      <c r="C4" s="7" t="s">
        <v>51</v>
      </c>
      <c r="D4" s="7" t="s">
        <v>53</v>
      </c>
      <c r="E4" s="7" t="s">
        <v>55</v>
      </c>
    </row>
    <row r="5">
      <c r="A5" s="9">
        <v>4.0</v>
      </c>
      <c r="B5" s="7" t="s">
        <v>58</v>
      </c>
      <c r="C5" s="7" t="s">
        <v>60</v>
      </c>
      <c r="D5" s="7" t="s">
        <v>61</v>
      </c>
      <c r="E5" s="7" t="s">
        <v>41</v>
      </c>
    </row>
    <row r="6">
      <c r="A6" s="9">
        <v>5.0</v>
      </c>
      <c r="B6" s="7" t="s">
        <v>62</v>
      </c>
      <c r="C6" s="7" t="s">
        <v>63</v>
      </c>
      <c r="D6" s="7" t="s">
        <v>53</v>
      </c>
      <c r="E6" s="7" t="s">
        <v>64</v>
      </c>
    </row>
    <row r="7">
      <c r="A7" s="9">
        <v>6.0</v>
      </c>
      <c r="B7" s="7" t="s">
        <v>65</v>
      </c>
      <c r="C7" s="7" t="s">
        <v>27</v>
      </c>
      <c r="D7" s="7" t="s">
        <v>53</v>
      </c>
      <c r="E7" s="7" t="s">
        <v>53</v>
      </c>
    </row>
    <row r="8">
      <c r="A8" s="9">
        <v>7.0</v>
      </c>
      <c r="B8" s="7" t="s">
        <v>66</v>
      </c>
      <c r="C8" s="7" t="s">
        <v>67</v>
      </c>
      <c r="D8" s="7" t="s">
        <v>68</v>
      </c>
      <c r="E8" s="7" t="s">
        <v>41</v>
      </c>
    </row>
    <row r="9">
      <c r="A9" s="9">
        <v>8.0</v>
      </c>
      <c r="B9" s="7" t="s">
        <v>69</v>
      </c>
      <c r="C9" s="7" t="s">
        <v>70</v>
      </c>
      <c r="D9" s="7" t="s">
        <v>71</v>
      </c>
      <c r="E9" s="7" t="s">
        <v>72</v>
      </c>
    </row>
    <row r="10">
      <c r="A10" s="9">
        <v>9.0</v>
      </c>
      <c r="B10" s="7" t="s">
        <v>73</v>
      </c>
      <c r="C10" s="7" t="s">
        <v>74</v>
      </c>
      <c r="D10" s="7" t="s">
        <v>75</v>
      </c>
      <c r="E10" s="7" t="s">
        <v>76</v>
      </c>
    </row>
    <row r="11">
      <c r="A11" s="9">
        <v>10.0</v>
      </c>
      <c r="B11" s="7" t="s">
        <v>77</v>
      </c>
      <c r="C11" s="7" t="s">
        <v>78</v>
      </c>
      <c r="D11" s="7" t="s">
        <v>53</v>
      </c>
      <c r="E11" s="7" t="s">
        <v>53</v>
      </c>
    </row>
    <row r="12">
      <c r="A12" s="9">
        <v>11.0</v>
      </c>
      <c r="B12" s="7" t="s">
        <v>79</v>
      </c>
      <c r="C12" s="7" t="s">
        <v>80</v>
      </c>
      <c r="D12" s="7" t="s">
        <v>81</v>
      </c>
      <c r="E12" s="7" t="s">
        <v>82</v>
      </c>
    </row>
    <row r="13">
      <c r="A13" s="9">
        <v>12.0</v>
      </c>
      <c r="B13" s="7" t="s">
        <v>83</v>
      </c>
      <c r="C13" s="7" t="s">
        <v>84</v>
      </c>
      <c r="D13" s="7" t="s">
        <v>85</v>
      </c>
      <c r="E13" s="7" t="s">
        <v>86</v>
      </c>
    </row>
    <row r="14">
      <c r="A14" s="9">
        <v>13.0</v>
      </c>
      <c r="B14" s="7" t="s">
        <v>87</v>
      </c>
      <c r="C14" s="7" t="s">
        <v>88</v>
      </c>
      <c r="D14" s="7" t="s">
        <v>59</v>
      </c>
      <c r="E14" s="7" t="s">
        <v>89</v>
      </c>
    </row>
    <row r="15">
      <c r="A15" s="9">
        <v>14.0</v>
      </c>
      <c r="B15" s="7" t="s">
        <v>90</v>
      </c>
      <c r="C15" s="7" t="s">
        <v>53</v>
      </c>
      <c r="D15" s="7" t="s">
        <v>91</v>
      </c>
      <c r="E15" s="7" t="s">
        <v>92</v>
      </c>
    </row>
    <row r="16">
      <c r="A16" s="9">
        <v>15.0</v>
      </c>
      <c r="B16" s="7" t="s">
        <v>93</v>
      </c>
      <c r="C16" s="7" t="s">
        <v>94</v>
      </c>
      <c r="D16" s="7" t="s">
        <v>95</v>
      </c>
      <c r="E16" s="7" t="s">
        <v>96</v>
      </c>
      <c r="F16" s="12"/>
    </row>
    <row r="17">
      <c r="A17" s="9">
        <v>16.0</v>
      </c>
      <c r="B17" s="7" t="s">
        <v>97</v>
      </c>
      <c r="C17" s="7" t="s">
        <v>98</v>
      </c>
      <c r="D17" s="7" t="s">
        <v>99</v>
      </c>
      <c r="E17" s="7" t="s">
        <v>100</v>
      </c>
    </row>
    <row r="18">
      <c r="A18" s="9">
        <v>17.0</v>
      </c>
      <c r="B18" s="7" t="s">
        <v>101</v>
      </c>
      <c r="C18" s="7" t="s">
        <v>53</v>
      </c>
      <c r="D18" s="7" t="s">
        <v>102</v>
      </c>
      <c r="E18" s="7" t="s">
        <v>103</v>
      </c>
    </row>
    <row r="19">
      <c r="A19" s="9">
        <v>18.0</v>
      </c>
      <c r="B19" s="7" t="s">
        <v>104</v>
      </c>
      <c r="C19" s="7" t="s">
        <v>105</v>
      </c>
      <c r="D19" s="7" t="s">
        <v>106</v>
      </c>
      <c r="E19" s="7" t="s">
        <v>107</v>
      </c>
    </row>
    <row r="20">
      <c r="A20" s="9">
        <v>19.0</v>
      </c>
      <c r="B20" s="7" t="s">
        <v>108</v>
      </c>
      <c r="C20" s="7" t="s">
        <v>53</v>
      </c>
      <c r="D20" s="7" t="s">
        <v>109</v>
      </c>
      <c r="E20" s="7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1.14"/>
    <col customWidth="1" min="3" max="3" width="32.86"/>
    <col customWidth="1" min="4" max="4" width="53.0"/>
    <col customWidth="1" min="5" max="5" width="64.86"/>
    <col customWidth="1" min="6" max="6" width="61.43"/>
    <col customWidth="1" min="7" max="7" width="20.14"/>
    <col customWidth="1" min="8" max="8" width="14.14"/>
    <col customWidth="1" min="9" max="9" width="13.43"/>
    <col customWidth="1" min="10" max="28" width="9.14"/>
  </cols>
  <sheetData>
    <row r="1">
      <c r="A1" s="1" t="s">
        <v>0</v>
      </c>
      <c r="B1" s="4" t="s">
        <v>4</v>
      </c>
      <c r="C1" s="4" t="s">
        <v>7</v>
      </c>
      <c r="D1" s="1" t="s">
        <v>9</v>
      </c>
      <c r="E1" s="4" t="s">
        <v>12</v>
      </c>
      <c r="F1" s="1" t="s">
        <v>14</v>
      </c>
      <c r="G1" s="1" t="s">
        <v>16</v>
      </c>
      <c r="H1" s="1" t="s">
        <v>18</v>
      </c>
    </row>
    <row r="2">
      <c r="A2" s="6" t="s">
        <v>19</v>
      </c>
      <c r="B2" s="7" t="s">
        <v>24</v>
      </c>
      <c r="C2" s="7" t="s">
        <v>27</v>
      </c>
      <c r="D2" s="7" t="s">
        <v>29</v>
      </c>
      <c r="E2" s="7" t="s">
        <v>31</v>
      </c>
      <c r="F2" s="7" t="s">
        <v>34</v>
      </c>
      <c r="G2" s="7" t="s">
        <v>36</v>
      </c>
      <c r="H2" s="7" t="s">
        <v>38</v>
      </c>
    </row>
    <row r="3">
      <c r="A3" s="6" t="s">
        <v>42</v>
      </c>
      <c r="B3" s="7" t="s">
        <v>24</v>
      </c>
      <c r="C3" s="7" t="s">
        <v>27</v>
      </c>
      <c r="D3" s="7" t="s">
        <v>44</v>
      </c>
      <c r="E3" s="7" t="s">
        <v>46</v>
      </c>
      <c r="F3" s="7" t="s">
        <v>48</v>
      </c>
      <c r="G3" s="6" t="s">
        <v>49</v>
      </c>
      <c r="H3" s="7" t="s">
        <v>38</v>
      </c>
    </row>
    <row r="4">
      <c r="A4" s="6" t="s">
        <v>52</v>
      </c>
      <c r="B4" s="7" t="s">
        <v>54</v>
      </c>
      <c r="C4" s="7" t="s">
        <v>27</v>
      </c>
      <c r="D4" s="7" t="s">
        <v>56</v>
      </c>
      <c r="E4" s="7" t="s">
        <v>57</v>
      </c>
      <c r="F4" s="7" t="s">
        <v>59</v>
      </c>
      <c r="G4" s="7" t="s">
        <v>49</v>
      </c>
      <c r="H4" s="7" t="s">
        <v>38</v>
      </c>
    </row>
    <row r="7">
      <c r="D7" s="10"/>
    </row>
    <row r="8">
      <c r="B8" s="11"/>
      <c r="C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6" width="9.14"/>
  </cols>
  <sheetData>
    <row r="1">
      <c r="A1" s="13" t="s">
        <v>110</v>
      </c>
      <c r="B1" s="14" t="s">
        <v>111</v>
      </c>
    </row>
    <row r="2">
      <c r="A2" s="7" t="s">
        <v>112</v>
      </c>
      <c r="B2" s="9" t="s">
        <v>113</v>
      </c>
    </row>
    <row r="3">
      <c r="A3" s="7" t="s">
        <v>114</v>
      </c>
      <c r="B3" s="9" t="s">
        <v>115</v>
      </c>
    </row>
    <row r="4">
      <c r="A4" s="7" t="s">
        <v>116</v>
      </c>
      <c r="B4" s="9" t="s">
        <v>115</v>
      </c>
    </row>
    <row r="5">
      <c r="A5" s="7" t="s">
        <v>117</v>
      </c>
      <c r="B5" s="9" t="s">
        <v>115</v>
      </c>
    </row>
    <row r="6">
      <c r="A6" s="7" t="s">
        <v>118</v>
      </c>
      <c r="B6" s="9" t="s">
        <v>119</v>
      </c>
    </row>
    <row r="7">
      <c r="A7" s="7" t="s">
        <v>120</v>
      </c>
      <c r="B7" s="9" t="s">
        <v>119</v>
      </c>
    </row>
    <row r="8">
      <c r="A8" s="7" t="s">
        <v>121</v>
      </c>
      <c r="B8" s="9" t="s">
        <v>119</v>
      </c>
    </row>
    <row r="9">
      <c r="A9" s="7" t="s">
        <v>122</v>
      </c>
      <c r="B9" s="9" t="s">
        <v>123</v>
      </c>
    </row>
    <row r="10">
      <c r="A10" s="7" t="s">
        <v>124</v>
      </c>
      <c r="B10" s="9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0.14"/>
    <col customWidth="1" min="3" max="3" width="13.86"/>
    <col customWidth="1" min="4" max="4" width="11.0"/>
    <col customWidth="1" min="5" max="26" width="9.14"/>
  </cols>
  <sheetData>
    <row r="1">
      <c r="A1" s="11" t="s">
        <v>110</v>
      </c>
      <c r="B1" s="15" t="s">
        <v>8</v>
      </c>
      <c r="C1" s="15" t="s">
        <v>126</v>
      </c>
      <c r="D1" s="15" t="s">
        <v>13</v>
      </c>
      <c r="E1" s="15"/>
    </row>
    <row r="2">
      <c r="A2" s="10" t="s">
        <v>112</v>
      </c>
      <c r="B2" s="16">
        <v>4.0</v>
      </c>
      <c r="C2" s="16">
        <v>5.0</v>
      </c>
      <c r="D2" s="16">
        <v>4.0</v>
      </c>
      <c r="E2" s="17"/>
    </row>
    <row r="3">
      <c r="A3" s="10" t="s">
        <v>114</v>
      </c>
      <c r="B3" s="16">
        <v>4.0</v>
      </c>
      <c r="C3" s="16">
        <v>4.0</v>
      </c>
      <c r="D3" s="16">
        <v>3.0</v>
      </c>
      <c r="E3" s="17"/>
    </row>
    <row r="4">
      <c r="A4" s="10" t="s">
        <v>116</v>
      </c>
      <c r="B4" s="16">
        <v>4.0</v>
      </c>
      <c r="C4" s="16">
        <v>4.0</v>
      </c>
      <c r="D4" s="16">
        <v>3.0</v>
      </c>
      <c r="E4" s="17"/>
    </row>
    <row r="5">
      <c r="A5" s="10" t="s">
        <v>117</v>
      </c>
      <c r="B5" s="16">
        <v>4.0</v>
      </c>
      <c r="C5" s="16">
        <v>4.0</v>
      </c>
      <c r="D5" s="16">
        <v>4.0</v>
      </c>
      <c r="E5" s="17"/>
    </row>
    <row r="6">
      <c r="A6" s="10" t="s">
        <v>118</v>
      </c>
      <c r="B6" s="16">
        <v>4.0</v>
      </c>
      <c r="C6" s="16">
        <v>4.0</v>
      </c>
      <c r="D6" s="16">
        <v>3.0</v>
      </c>
      <c r="E6" s="17"/>
    </row>
    <row r="7">
      <c r="A7" s="10" t="s">
        <v>120</v>
      </c>
      <c r="B7" s="16">
        <v>4.0</v>
      </c>
      <c r="C7" s="16">
        <v>4.0</v>
      </c>
      <c r="D7" s="16">
        <v>3.0</v>
      </c>
      <c r="E7" s="17"/>
    </row>
    <row r="8">
      <c r="A8" s="10" t="s">
        <v>121</v>
      </c>
      <c r="B8" s="16">
        <v>4.0</v>
      </c>
      <c r="C8" s="16">
        <v>5.0</v>
      </c>
      <c r="D8" s="16">
        <v>3.0</v>
      </c>
      <c r="E8" s="17"/>
    </row>
    <row r="9">
      <c r="A9" s="10" t="s">
        <v>122</v>
      </c>
      <c r="B9" s="16">
        <v>4.0</v>
      </c>
      <c r="C9" s="16">
        <v>5.0</v>
      </c>
      <c r="D9" s="16">
        <v>3.0</v>
      </c>
      <c r="E9" s="17"/>
    </row>
    <row r="10">
      <c r="A10" s="10"/>
      <c r="B10" s="16"/>
      <c r="C10" s="18"/>
      <c r="D10" s="18"/>
      <c r="E10" s="17"/>
    </row>
    <row r="11">
      <c r="B11" s="16"/>
      <c r="C11" s="16"/>
      <c r="D11" s="16"/>
      <c r="E11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6" width="9.14"/>
  </cols>
  <sheetData>
    <row r="1">
      <c r="A1" s="11" t="s">
        <v>110</v>
      </c>
      <c r="B1" s="15" t="s">
        <v>127</v>
      </c>
      <c r="C1" s="15" t="s">
        <v>128</v>
      </c>
      <c r="D1" s="15" t="s">
        <v>129</v>
      </c>
    </row>
    <row r="2">
      <c r="A2" s="10" t="s">
        <v>112</v>
      </c>
      <c r="B2" s="16">
        <v>0.0</v>
      </c>
      <c r="C2" s="18">
        <f>+1</f>
        <v>1</v>
      </c>
      <c r="D2" s="16">
        <v>0.0</v>
      </c>
    </row>
    <row r="3">
      <c r="A3" s="10" t="s">
        <v>114</v>
      </c>
      <c r="B3" s="16">
        <v>0.0</v>
      </c>
      <c r="C3" s="16">
        <v>0.0</v>
      </c>
      <c r="D3" s="16">
        <v>-1.0</v>
      </c>
    </row>
    <row r="4">
      <c r="A4" s="10" t="s">
        <v>116</v>
      </c>
      <c r="B4" s="16">
        <v>0.0</v>
      </c>
      <c r="C4" s="16">
        <v>0.0</v>
      </c>
      <c r="D4" s="16">
        <v>-1.0</v>
      </c>
    </row>
    <row r="5">
      <c r="A5" s="10" t="s">
        <v>117</v>
      </c>
      <c r="B5" s="16">
        <v>0.0</v>
      </c>
      <c r="C5" s="16">
        <v>0.0</v>
      </c>
      <c r="D5" s="16">
        <v>0.0</v>
      </c>
    </row>
    <row r="6">
      <c r="A6" s="10" t="s">
        <v>118</v>
      </c>
      <c r="B6" s="16">
        <v>0.0</v>
      </c>
      <c r="C6" s="16">
        <v>0.0</v>
      </c>
      <c r="D6" s="16">
        <v>-1.0</v>
      </c>
    </row>
    <row r="7">
      <c r="A7" s="10" t="s">
        <v>120</v>
      </c>
      <c r="B7" s="16">
        <v>0.0</v>
      </c>
      <c r="C7" s="16">
        <v>0.0</v>
      </c>
      <c r="D7" s="16">
        <v>-1.0</v>
      </c>
    </row>
    <row r="8">
      <c r="A8" s="10" t="s">
        <v>121</v>
      </c>
      <c r="B8" s="16">
        <v>0.0</v>
      </c>
      <c r="C8" s="18">
        <f t="shared" ref="C8:C9" si="1">+1</f>
        <v>1</v>
      </c>
      <c r="D8" s="16">
        <v>-1.0</v>
      </c>
    </row>
    <row r="9">
      <c r="A9" s="10" t="s">
        <v>122</v>
      </c>
      <c r="B9" s="16">
        <v>0.0</v>
      </c>
      <c r="C9" s="18">
        <f t="shared" si="1"/>
        <v>1</v>
      </c>
      <c r="D9" s="16">
        <v>-1.0</v>
      </c>
    </row>
    <row r="10">
      <c r="A10" s="10" t="s">
        <v>133</v>
      </c>
      <c r="B10" s="16" t="s">
        <v>53</v>
      </c>
      <c r="C10" s="18">
        <f>+3</f>
        <v>3</v>
      </c>
      <c r="D10" s="16">
        <v>-6.0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7.43"/>
    <col customWidth="1" min="3" max="5" width="22.71"/>
    <col customWidth="1" min="6" max="6" width="10.71"/>
    <col customWidth="1" min="7" max="9" width="22.71"/>
    <col customWidth="1" min="10" max="26" width="9.14"/>
  </cols>
  <sheetData>
    <row r="1">
      <c r="A1" s="11" t="s">
        <v>110</v>
      </c>
      <c r="B1" s="15" t="s">
        <v>111</v>
      </c>
      <c r="C1" s="19" t="s">
        <v>19</v>
      </c>
      <c r="D1" s="19" t="s">
        <v>42</v>
      </c>
      <c r="E1" s="20" t="s">
        <v>52</v>
      </c>
      <c r="F1" s="21"/>
      <c r="G1" s="22" t="s">
        <v>130</v>
      </c>
      <c r="H1" s="19" t="s">
        <v>131</v>
      </c>
      <c r="I1" s="19" t="s">
        <v>132</v>
      </c>
    </row>
    <row r="2">
      <c r="A2" s="10" t="s">
        <v>112</v>
      </c>
      <c r="B2" s="16">
        <v>0.2</v>
      </c>
      <c r="C2" s="6">
        <f t="array" ref="C2">INDEX('Puntajes (1-5)'!$B:$D, MATCH($A2, 'Puntajes (1-5)'!$A:$A, 0), 1)</f>
        <v>4</v>
      </c>
      <c r="D2" s="6">
        <f t="array" ref="D2">INDEX('Puntajes (1-5)'!$B:$D, MATCH($A2, 'Puntajes (1-5)'!$A:$A, 0), 2)</f>
        <v>5</v>
      </c>
      <c r="E2" s="23">
        <f t="array" ref="E2">INDEX('Puntajes (1-5)'!$B:$D, MATCH($A2, 'Puntajes (1-5)'!$A:$A, 0), 3)</f>
        <v>4</v>
      </c>
      <c r="F2" s="24"/>
      <c r="G2" s="25">
        <f>B2*C2</f>
        <v>0.8</v>
      </c>
      <c r="H2" s="6">
        <f t="shared" ref="H2:I2" si="1">$B2*D2</f>
        <v>1</v>
      </c>
      <c r="I2" s="6">
        <f t="shared" si="1"/>
        <v>0.8</v>
      </c>
    </row>
    <row r="3">
      <c r="A3" s="10" t="s">
        <v>114</v>
      </c>
      <c r="B3" s="16">
        <v>0.15</v>
      </c>
      <c r="C3" s="6">
        <f t="array" ref="C3">INDEX('Puntajes (1-5)'!$B:$D, MATCH($A3, 'Puntajes (1-5)'!$A:$A, 0), 1)</f>
        <v>4</v>
      </c>
      <c r="D3" s="6">
        <f t="array" ref="D3">INDEX('Puntajes (1-5)'!$B:$D, MATCH($A3, 'Puntajes (1-5)'!$A:$A, 0), 2)</f>
        <v>4</v>
      </c>
      <c r="E3" s="23">
        <f t="array" ref="E3">INDEX('Puntajes (1-5)'!$B:$D, MATCH($A3, 'Puntajes (1-5)'!$A:$A, 0), 3)</f>
        <v>3</v>
      </c>
      <c r="F3" s="24"/>
      <c r="G3" s="25">
        <f t="shared" ref="G3:I3" si="2">$B3*C3</f>
        <v>0.6</v>
      </c>
      <c r="H3" s="6">
        <f t="shared" si="2"/>
        <v>0.6</v>
      </c>
      <c r="I3" s="6">
        <f t="shared" si="2"/>
        <v>0.45</v>
      </c>
    </row>
    <row r="4">
      <c r="A4" s="10" t="s">
        <v>116</v>
      </c>
      <c r="B4" s="16">
        <v>0.15</v>
      </c>
      <c r="C4" s="6">
        <f t="array" ref="C4">INDEX('Puntajes (1-5)'!$B:$D, MATCH($A4, 'Puntajes (1-5)'!$A:$A, 0), 1)</f>
        <v>4</v>
      </c>
      <c r="D4" s="6">
        <f t="array" ref="D4">INDEX('Puntajes (1-5)'!$B:$D, MATCH($A4, 'Puntajes (1-5)'!$A:$A, 0), 2)</f>
        <v>4</v>
      </c>
      <c r="E4" s="23">
        <f t="array" ref="E4">INDEX('Puntajes (1-5)'!$B:$D, MATCH($A4, 'Puntajes (1-5)'!$A:$A, 0), 3)</f>
        <v>3</v>
      </c>
      <c r="F4" s="24"/>
      <c r="G4" s="25">
        <f t="shared" ref="G4:I4" si="3">$B4*C4</f>
        <v>0.6</v>
      </c>
      <c r="H4" s="6">
        <f t="shared" si="3"/>
        <v>0.6</v>
      </c>
      <c r="I4" s="6">
        <f t="shared" si="3"/>
        <v>0.45</v>
      </c>
    </row>
    <row r="5">
      <c r="A5" s="10" t="s">
        <v>117</v>
      </c>
      <c r="B5" s="9">
        <v>0.15</v>
      </c>
      <c r="C5" s="7">
        <v>4.0</v>
      </c>
      <c r="D5" s="7">
        <v>4.0</v>
      </c>
      <c r="E5" s="26">
        <v>4.0</v>
      </c>
      <c r="F5" s="24"/>
      <c r="G5" s="25">
        <f t="shared" ref="G5:I5" si="4">$B5*C5</f>
        <v>0.6</v>
      </c>
      <c r="H5" s="6">
        <f t="shared" si="4"/>
        <v>0.6</v>
      </c>
      <c r="I5" s="6">
        <f t="shared" si="4"/>
        <v>0.6</v>
      </c>
    </row>
    <row r="6">
      <c r="A6" s="10" t="s">
        <v>118</v>
      </c>
      <c r="B6" s="16">
        <v>0.1</v>
      </c>
      <c r="C6" s="6">
        <f t="array" ref="C6">INDEX('Puntajes (1-5)'!$B:$D, MATCH($A6, 'Puntajes (1-5)'!$A:$A, 0), 1)</f>
        <v>4</v>
      </c>
      <c r="D6" s="6">
        <f t="array" ref="D6">INDEX('Puntajes (1-5)'!$B:$D, MATCH($A6, 'Puntajes (1-5)'!$A:$A, 0), 2)</f>
        <v>4</v>
      </c>
      <c r="E6" s="23">
        <f t="array" ref="E6">INDEX('Puntajes (1-5)'!$B:$D, MATCH($A6, 'Puntajes (1-5)'!$A:$A, 0), 3)</f>
        <v>3</v>
      </c>
      <c r="F6" s="24"/>
      <c r="G6" s="25">
        <f t="shared" ref="G6:I6" si="5">$B6*C6</f>
        <v>0.4</v>
      </c>
      <c r="H6" s="6">
        <f t="shared" si="5"/>
        <v>0.4</v>
      </c>
      <c r="I6" s="6">
        <f t="shared" si="5"/>
        <v>0.3</v>
      </c>
    </row>
    <row r="7">
      <c r="A7" s="10" t="s">
        <v>120</v>
      </c>
      <c r="B7" s="16">
        <v>0.1</v>
      </c>
      <c r="C7" s="6">
        <f t="array" ref="C7">INDEX('Puntajes (1-5)'!$B:$D, MATCH($A7, 'Puntajes (1-5)'!$A:$A, 0), 1)</f>
        <v>4</v>
      </c>
      <c r="D7" s="6">
        <f t="array" ref="D7">INDEX('Puntajes (1-5)'!$B:$D, MATCH($A7, 'Puntajes (1-5)'!$A:$A, 0), 2)</f>
        <v>4</v>
      </c>
      <c r="E7" s="23">
        <f t="array" ref="E7">INDEX('Puntajes (1-5)'!$B:$D, MATCH($A7, 'Puntajes (1-5)'!$A:$A, 0), 3)</f>
        <v>3</v>
      </c>
      <c r="F7" s="24"/>
      <c r="G7" s="25">
        <f t="shared" ref="G7:I7" si="6">$B7*C7</f>
        <v>0.4</v>
      </c>
      <c r="H7" s="6">
        <f t="shared" si="6"/>
        <v>0.4</v>
      </c>
      <c r="I7" s="6">
        <f t="shared" si="6"/>
        <v>0.3</v>
      </c>
    </row>
    <row r="8">
      <c r="A8" s="10" t="s">
        <v>121</v>
      </c>
      <c r="B8" s="16">
        <v>0.1</v>
      </c>
      <c r="C8" s="6">
        <f t="array" ref="C8">INDEX('Puntajes (1-5)'!$B:$D, MATCH($A8, 'Puntajes (1-5)'!$A:$A, 0), 1)</f>
        <v>4</v>
      </c>
      <c r="D8" s="6">
        <f t="array" ref="D8">INDEX('Puntajes (1-5)'!$B:$D, MATCH($A8, 'Puntajes (1-5)'!$A:$A, 0), 2)</f>
        <v>5</v>
      </c>
      <c r="E8" s="23">
        <f t="array" ref="E8">INDEX('Puntajes (1-5)'!$B:$D, MATCH($A8, 'Puntajes (1-5)'!$A:$A, 0), 3)</f>
        <v>3</v>
      </c>
      <c r="F8" s="24"/>
      <c r="G8" s="25">
        <f t="shared" ref="G8:I8" si="7">$B8*C8</f>
        <v>0.4</v>
      </c>
      <c r="H8" s="6">
        <f t="shared" si="7"/>
        <v>0.5</v>
      </c>
      <c r="I8" s="6">
        <f t="shared" si="7"/>
        <v>0.3</v>
      </c>
    </row>
    <row r="9">
      <c r="A9" s="10" t="s">
        <v>122</v>
      </c>
      <c r="B9" s="16">
        <v>0.05</v>
      </c>
      <c r="C9" s="7">
        <v>4.0</v>
      </c>
      <c r="D9" s="7">
        <v>5.0</v>
      </c>
      <c r="E9" s="26">
        <v>3.0</v>
      </c>
      <c r="F9" s="27"/>
      <c r="G9" s="25">
        <f>B9*C9</f>
        <v>0.2</v>
      </c>
      <c r="H9" s="6">
        <f>B9*D9</f>
        <v>0.25</v>
      </c>
      <c r="I9" s="6">
        <f>B9*E9</f>
        <v>0.15</v>
      </c>
    </row>
    <row r="10">
      <c r="A10" s="10" t="s">
        <v>124</v>
      </c>
      <c r="B10" s="16">
        <f>SUM(B2:B9)</f>
        <v>1</v>
      </c>
      <c r="F10" s="7" t="s">
        <v>134</v>
      </c>
      <c r="G10" s="6">
        <f t="shared" ref="G10:I10" si="8">SUM(G2:G9)</f>
        <v>4</v>
      </c>
      <c r="H10" s="28">
        <f t="shared" si="8"/>
        <v>4.35</v>
      </c>
      <c r="I10" s="6">
        <f t="shared" si="8"/>
        <v>3.35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2025-09-01T03:05:01Z</dcterms:created>
</cp:coreProperties>
</file>